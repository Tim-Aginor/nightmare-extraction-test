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png" ContentType="image/png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Liberation Mono"/>
      <b val="1"/>
      <color rgb="000D47A1"/>
      <sz val="14"/>
    </font>
    <font>
      <name val="Liberation Mono"/>
      <b val="1"/>
      <color rgb="000D47A1"/>
      <sz val="12"/>
    </font>
    <font>
      <name val="Liberation Mono"/>
      <b val="1"/>
      <color rgb="000D47A1"/>
      <sz val="10"/>
    </font>
    <font>
      <name val="Liberation Mono"/>
      <sz val="10"/>
    </font>
    <font>
      <name val="Liberation Mono"/>
      <b val="1"/>
      <color rgb="00FFFFFF"/>
      <sz val="10"/>
    </font>
    <font>
      <name val="Liberation Mono"/>
      <b val="1"/>
      <color rgb="00FFFFFF"/>
      <sz val="11"/>
    </font>
    <font>
      <name val="Liberation Mono"/>
      <b val="1"/>
      <sz val="10"/>
    </font>
  </fonts>
  <fills count="4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D1D5DB"/>
        <bgColor rgb="00D1D5DB"/>
      </patternFill>
    </fill>
  </fills>
  <borders count="3">
    <border>
      <left/>
      <right/>
      <top/>
      <bottom/>
      <diagonal/>
    </border>
    <border>
      <top style="thin">
        <color rgb="000D47A1"/>
      </top>
      <bottom style="double">
        <color rgb="000D47A1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7" fillId="0" borderId="0" pivotButton="0" quotePrefix="0" xfId="0"/>
    <xf numFmtId="3" fontId="7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 indent="1"/>
    </xf>
    <xf numFmtId="3" fontId="4" fillId="0" borderId="0" applyAlignment="1" pivotButton="0" quotePrefix="0" xfId="0">
      <alignment horizontal="right"/>
    </xf>
    <xf numFmtId="0" fontId="7" fillId="0" borderId="1" pivotButton="0" quotePrefix="0" xfId="0"/>
    <xf numFmtId="3" fontId="7" fillId="0" borderId="1" applyAlignment="1" pivotButton="0" quotePrefix="0" xfId="0">
      <alignment horizontal="right"/>
    </xf>
    <xf numFmtId="0" fontId="0" fillId="0" borderId="1" pivotButton="0" quotePrefix="0" xfId="0"/>
    <xf numFmtId="0" fontId="7" fillId="3" borderId="1" pivotButton="0" quotePrefix="0" xfId="0"/>
    <xf numFmtId="3" fontId="7" fillId="3" borderId="1" applyAlignment="1" pivotButton="0" quotePrefix="0" xfId="0">
      <alignment horizontal="right"/>
    </xf>
    <xf numFmtId="0" fontId="0" fillId="3" borderId="1" pivotButton="0" quotePrefix="0" xfId="0"/>
    <xf numFmtId="0" fontId="7" fillId="0" borderId="2" pivotButton="0" quotePrefix="0" xfId="0"/>
    <xf numFmtId="3" fontId="7" fillId="0" borderId="2" applyAlignment="1" pivotButton="0" quotePrefix="0" xfId="0">
      <alignment horizontal="right"/>
    </xf>
    <xf numFmtId="0" fontId="0" fillId="0" borderId="2" pivotButton="0" quotePrefix="0" xfId="0"/>
    <xf numFmtId="0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 standalone='yes'?>
<Relationships xmlns="http://schemas.openxmlformats.org/package/2006/relationships"><Relationship Id="rIdBg1" Type="http://schemas.openxmlformats.org/officeDocument/2006/relationships/image" Target="../media/background1.png"/></Relationships>
</file>

<file path=xl/worksheets/sheet1.xml><?xml version="1.0" encoding="utf-8"?>
<worksheet xmlns="http://schemas.openxmlformats.org/spreadsheetml/2006/main">
  <sheetPr>
    <outlinePr summaryBelow="1" summaryRight="1"/>
  </sheetPr>
  <dimension ref="A1:E4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2" customWidth="1" min="4" max="4"/>
    <col width="18" customWidth="1" min="5" max="5"/>
  </cols>
  <sheetData>
    <row r="1" ht="24" customHeight="1">
      <c r="A1" s="1" t="inlineStr">
        <is>
          <t>Buckeye Industrial Properties, LLC</t>
        </is>
      </c>
    </row>
    <row r="2">
      <c r="A2" s="2" t="inlineStr">
        <is>
          <t>FINANCIAL STATEMENTS</t>
        </is>
      </c>
    </row>
    <row r="3">
      <c r="A3" s="3" t="inlineStr">
        <is>
          <t>Named Insured:</t>
        </is>
      </c>
      <c r="B3" s="4" t="inlineStr">
        <is>
          <t>Buckeye Industrial Properties, LLC</t>
        </is>
      </c>
    </row>
    <row r="4">
      <c r="A4" s="3" t="inlineStr">
        <is>
          <t>Mailing Address:</t>
        </is>
      </c>
      <c r="B4" s="4" t="inlineStr">
        <is>
          <t>250 Civic Center Drive, Suite 600, Columbus, OH, 43215</t>
        </is>
      </c>
    </row>
    <row r="5">
      <c r="A5" s="3" t="inlineStr">
        <is>
          <t>Valuation Date:</t>
        </is>
      </c>
      <c r="B5" s="4" t="inlineStr">
        <is>
          <t>2026-02-23</t>
        </is>
      </c>
    </row>
    <row r="6">
      <c r="A6" s="3" t="inlineStr">
        <is>
          <t>Prepared By:</t>
        </is>
      </c>
      <c r="B6" s="4" t="inlineStr">
        <is>
          <t>Douglas Brennan</t>
        </is>
      </c>
    </row>
    <row r="7" ht="8" customHeight="1"/>
    <row r="8">
      <c r="B8" s="5" t="inlineStr">
        <is>
          <t>FY2026 (ending 9/30)</t>
        </is>
      </c>
      <c r="C8" s="5" t="inlineStr">
        <is>
          <t>Budget FY2026</t>
        </is>
      </c>
      <c r="E8" s="5" t="inlineStr">
        <is>
          <t>FY2025 (ending 9/30)</t>
        </is>
      </c>
    </row>
    <row r="9" ht="22" customHeight="1">
      <c r="A9" s="6" t="inlineStr">
        <is>
          <t>BALANCE SHEET</t>
        </is>
      </c>
    </row>
    <row r="10">
      <c r="A10" s="7" t="inlineStr"/>
      <c r="B10" s="8" t="n">
        <v>0</v>
      </c>
      <c r="C10" s="8" t="n">
        <v>0</v>
      </c>
      <c r="E10" s="8" t="n">
        <v>0</v>
      </c>
    </row>
    <row r="11">
      <c r="A11" s="7" t="inlineStr"/>
      <c r="B11" s="8" t="n">
        <v>0</v>
      </c>
      <c r="C11" s="8" t="n">
        <v>0</v>
      </c>
      <c r="E11" s="8" t="n">
        <v>0</v>
      </c>
    </row>
    <row r="12">
      <c r="A12" s="9" t="inlineStr"/>
      <c r="B12" s="10" t="n">
        <v>8122200</v>
      </c>
      <c r="C12" s="10" t="n">
        <v>8026000</v>
      </c>
      <c r="E12" s="10" t="n">
        <v>8033400</v>
      </c>
    </row>
    <row r="13">
      <c r="A13" s="9" t="inlineStr"/>
      <c r="B13" s="10" t="n">
        <v>8575100</v>
      </c>
      <c r="C13" s="10" t="n">
        <v>8473600</v>
      </c>
      <c r="E13" s="10" t="n">
        <v>8481400</v>
      </c>
    </row>
    <row r="14">
      <c r="A14" s="9" t="inlineStr"/>
      <c r="B14" s="10" t="n">
        <v>65300</v>
      </c>
      <c r="C14" s="10" t="n">
        <v>64500</v>
      </c>
      <c r="E14" s="10" t="n">
        <v>64600</v>
      </c>
    </row>
    <row r="15">
      <c r="A15" s="9" t="inlineStr"/>
      <c r="B15" s="10" t="n">
        <v>1200000</v>
      </c>
      <c r="C15" s="10" t="n">
        <v>1185800</v>
      </c>
      <c r="E15" s="10" t="n">
        <v>1186900</v>
      </c>
    </row>
    <row r="16">
      <c r="A16" s="9" t="inlineStr"/>
      <c r="B16" s="10" t="n">
        <v>72000000</v>
      </c>
      <c r="C16" s="10" t="n">
        <v>71147400</v>
      </c>
      <c r="E16" s="10" t="n">
        <v>71213200</v>
      </c>
    </row>
    <row r="17">
      <c r="A17" s="9" t="inlineStr"/>
      <c r="B17" s="10" t="n">
        <v>22398500</v>
      </c>
      <c r="C17" s="10" t="n">
        <v>22133300</v>
      </c>
      <c r="E17" s="10" t="n">
        <v>22153700</v>
      </c>
    </row>
    <row r="18">
      <c r="A18" s="11" t="inlineStr"/>
      <c r="B18" s="12">
        <f>SUM(B12:B15)+B16+B17</f>
        <v/>
      </c>
      <c r="C18" s="12" t="n">
        <v>111030500</v>
      </c>
      <c r="D18" s="13" t="n"/>
      <c r="E18" s="12" t="n">
        <v>111133200</v>
      </c>
    </row>
    <row r="20">
      <c r="A20" s="7" t="inlineStr"/>
      <c r="B20" s="8" t="n">
        <v>0</v>
      </c>
      <c r="C20" s="8" t="n">
        <v>0</v>
      </c>
      <c r="E20" s="8" t="n">
        <v>0</v>
      </c>
    </row>
    <row r="21">
      <c r="A21" s="9" t="inlineStr"/>
      <c r="B21" s="10" t="n">
        <v>12814400</v>
      </c>
      <c r="C21" s="10" t="n">
        <v>12662600</v>
      </c>
      <c r="E21" s="10" t="n">
        <v>12674400</v>
      </c>
    </row>
    <row r="22">
      <c r="A22" s="9" t="inlineStr"/>
      <c r="B22" s="10" t="n">
        <v>6289500</v>
      </c>
      <c r="C22" s="10" t="n">
        <v>6215000</v>
      </c>
      <c r="E22" s="10" t="n">
        <v>6220800</v>
      </c>
    </row>
    <row r="23">
      <c r="A23" s="9" t="inlineStr"/>
      <c r="B23" s="10" t="n">
        <v>2094900</v>
      </c>
      <c r="C23" s="10" t="n">
        <v>2070100</v>
      </c>
      <c r="E23" s="10" t="n">
        <v>2072000</v>
      </c>
    </row>
    <row r="24">
      <c r="A24" s="9" t="inlineStr"/>
      <c r="B24" s="10" t="n">
        <v>9785600</v>
      </c>
      <c r="C24" s="10" t="n">
        <v>9669700</v>
      </c>
      <c r="E24" s="10" t="n">
        <v>9678700</v>
      </c>
    </row>
    <row r="25">
      <c r="A25" s="9" t="inlineStr"/>
      <c r="B25" s="10" t="n">
        <v>2694300</v>
      </c>
      <c r="C25" s="10" t="n">
        <v>2662400</v>
      </c>
      <c r="E25" s="10" t="n">
        <v>2664900</v>
      </c>
    </row>
    <row r="26">
      <c r="A26" s="11" t="inlineStr"/>
      <c r="B26" s="12">
        <f>SUM(B21:B25)</f>
        <v/>
      </c>
      <c r="C26" s="12" t="n">
        <v>33279900</v>
      </c>
      <c r="D26" s="13" t="n"/>
      <c r="E26" s="12" t="n">
        <v>33310600</v>
      </c>
    </row>
    <row r="28">
      <c r="A28" s="7" t="inlineStr"/>
      <c r="B28" s="8" t="n">
        <v>78682400</v>
      </c>
      <c r="C28" s="8" t="n">
        <v>77750600</v>
      </c>
      <c r="E28" s="8" t="n">
        <v>77822500</v>
      </c>
    </row>
    <row r="29">
      <c r="A29" s="14" t="inlineStr"/>
      <c r="B29" s="15" t="n">
        <v>112361100</v>
      </c>
      <c r="C29" s="15" t="n">
        <v>111030500</v>
      </c>
      <c r="D29" s="16" t="n"/>
      <c r="E29" s="15" t="n">
        <v>111133200</v>
      </c>
    </row>
    <row r="32" ht="22" customHeight="1">
      <c r="A32" s="6" t="inlineStr">
        <is>
          <t>INCOME STATEMENT</t>
        </is>
      </c>
    </row>
    <row r="33">
      <c r="A33" s="4" t="inlineStr"/>
      <c r="B33" s="10" t="n">
        <v>48000000</v>
      </c>
      <c r="C33" s="10" t="n">
        <v>47431600</v>
      </c>
      <c r="E33" s="10" t="n">
        <v>47475400</v>
      </c>
    </row>
    <row r="34">
      <c r="A34" s="4" t="inlineStr"/>
      <c r="B34" s="10" t="n">
        <v>19715000</v>
      </c>
      <c r="C34" s="10" t="n">
        <v>19481500</v>
      </c>
      <c r="E34" s="10" t="n">
        <v>19499500</v>
      </c>
    </row>
    <row r="35">
      <c r="A35" s="17" t="inlineStr"/>
      <c r="B35" s="18">
        <f>B33-B34</f>
        <v/>
      </c>
      <c r="C35" s="18" t="n">
        <v>27950000</v>
      </c>
      <c r="D35" s="19" t="n"/>
      <c r="E35" s="18" t="n">
        <v>27975900</v>
      </c>
    </row>
    <row r="36">
      <c r="A36" s="9" t="inlineStr"/>
      <c r="B36" s="10" t="n">
        <v>16131300</v>
      </c>
      <c r="C36" s="10" t="n">
        <v>15940300</v>
      </c>
      <c r="E36" s="10" t="n">
        <v>15955000</v>
      </c>
    </row>
    <row r="37">
      <c r="A37" s="9" t="inlineStr"/>
      <c r="B37" s="10" t="n">
        <v>892700</v>
      </c>
      <c r="C37" s="10" t="n">
        <v>882100</v>
      </c>
      <c r="E37" s="10" t="n">
        <v>882900</v>
      </c>
    </row>
    <row r="38">
      <c r="A38" s="7" t="inlineStr"/>
      <c r="B38" s="8" t="n">
        <v>11261000</v>
      </c>
      <c r="C38" s="8" t="n">
        <v>11127600</v>
      </c>
      <c r="E38" s="8" t="n">
        <v>11137900</v>
      </c>
    </row>
    <row r="39">
      <c r="A39" s="9" t="inlineStr"/>
      <c r="B39" s="10" t="n">
        <v>1322100</v>
      </c>
      <c r="C39" s="10" t="n">
        <v>1306400</v>
      </c>
      <c r="E39" s="10" t="n">
        <v>1307700</v>
      </c>
    </row>
    <row r="40">
      <c r="A40" s="7" t="inlineStr"/>
      <c r="B40" s="8" t="n">
        <v>9938900</v>
      </c>
      <c r="C40" s="8" t="n">
        <v>9821200</v>
      </c>
      <c r="E40" s="8" t="n">
        <v>9830300</v>
      </c>
    </row>
    <row r="41">
      <c r="A41" s="9" t="inlineStr"/>
      <c r="B41" s="10" t="n">
        <v>2738900</v>
      </c>
      <c r="C41" s="10" t="n">
        <v>2706500</v>
      </c>
      <c r="E41" s="10" t="n">
        <v>2709000</v>
      </c>
    </row>
    <row r="42">
      <c r="A42" s="14" t="inlineStr"/>
      <c r="B42" s="15">
        <f>B40-B41</f>
        <v/>
      </c>
      <c r="C42" s="15" t="n">
        <v>7114700</v>
      </c>
      <c r="D42" s="16" t="n"/>
      <c r="E42" s="15" t="n">
        <v>7121300</v>
      </c>
    </row>
    <row r="45" ht="22" customHeight="1">
      <c r="A45" s="6" t="inlineStr">
        <is>
          <t>KEY FINANCIAL RATIOS</t>
        </is>
      </c>
    </row>
    <row r="46">
      <c r="A46" s="4" t="inlineStr">
        <is>
          <t>Current Ratio</t>
        </is>
      </c>
      <c r="B46" s="20" t="inlineStr">
        <is>
          <t>0.85</t>
        </is>
      </c>
    </row>
    <row r="47">
      <c r="A47" s="4" t="inlineStr">
        <is>
          <t>Debt-to-Equity</t>
        </is>
      </c>
      <c r="B47" s="20" t="inlineStr">
        <is>
          <t>0.43</t>
        </is>
      </c>
    </row>
    <row r="48">
      <c r="A48" s="4" t="inlineStr">
        <is>
          <t>Profit Margin</t>
        </is>
      </c>
      <c r="B48" s="20" t="inlineStr">
        <is>
          <t>15.0%</t>
        </is>
      </c>
    </row>
    <row r="49">
      <c r="A49" s="4" t="inlineStr">
        <is>
          <t>Return on Assets</t>
        </is>
      </c>
      <c r="B49" s="20" t="inlineStr">
        <is>
          <t>6.4%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">
    <mergeCell ref="B3:D3"/>
    <mergeCell ref="B5:D5"/>
    <mergeCell ref="A2:E2"/>
    <mergeCell ref="B4:D4"/>
    <mergeCell ref="A1:E1"/>
    <mergeCell ref="A45:E45"/>
    <mergeCell ref="A32:E32"/>
    <mergeCell ref="B6:D6"/>
    <mergeCell ref="A9:E9"/>
  </mergeCells>
  <pageMargins left="0.75" right="0.75" top="1" bottom="1" header="0.5" footer="0.5"/>
  <pageSetup orientation="portrait" fitToHeight="0" fitToWidth="1"/>
  <headerFooter>
    <oddHeader/>
    <oddFooter>&amp;LFINANCIAL STATEMENTS - CONFIDENTIAL&amp;RPage &amp;P of &amp;N</oddFooter>
    <evenHeader/>
    <evenFooter/>
    <firstHeader/>
    <firstFooter/>
  </headerFooter>
  <picture xmlns:r="http://schemas.openxmlformats.org/officeDocument/2006/relationships" r:id="rIdBg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2026-05-04T23:23:18Z</dcterms:created>
  <dcterms:modified xmlns:dcterms="http://purl.org/dc/terms/" xmlns:xsi="http://www.w3.org/2001/XMLSchema-instance" xsi:type="dcterms:W3CDTF">2026-05-04T23:23:18Z</dcterms:modified>
</cp:coreProperties>
</file>