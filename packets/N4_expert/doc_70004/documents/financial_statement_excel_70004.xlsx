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8B0000"/>
      <sz val="14"/>
    </font>
    <font>
      <name val="Times New Roman"/>
      <b val="1"/>
      <color rgb="008B0000"/>
      <sz val="12"/>
    </font>
    <font>
      <name val="Times New Roman"/>
      <b val="1"/>
      <color rgb="008B0000"/>
      <sz val="10"/>
    </font>
    <font>
      <name val="Times New Roman"/>
      <sz val="10"/>
    </font>
    <font>
      <name val="Times New Roman"/>
      <b val="1"/>
      <color rgb="00FFFFF0"/>
      <sz val="11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C9A94E"/>
        <bgColor rgb="00C9A94E"/>
      </patternFill>
    </fill>
  </fills>
  <borders count="3">
    <border>
      <left/>
      <right/>
      <top/>
      <bottom/>
      <diagonal/>
    </border>
    <border>
      <top style="thin">
        <color rgb="008B0000"/>
      </top>
      <bottom style="double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3" fontId="4" fillId="0" borderId="0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3" borderId="1" pivotButton="0" quotePrefix="0" xfId="0"/>
    <xf numFmtId="3" fontId="6" fillId="3" borderId="1" applyAlignment="1" pivotButton="0" quotePrefix="0" xfId="0">
      <alignment horizontal="right"/>
    </xf>
    <xf numFmtId="0" fontId="6" fillId="0" borderId="2" pivotButton="0" quotePrefix="0" xfId="0"/>
    <xf numFmtId="3" fontId="6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B5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 ht="24" customHeight="1">
      <c r="A1" s="1" t="inlineStr">
        <is>
          <t>Keystone Commercial Builders, Inc.</t>
        </is>
      </c>
    </row>
    <row r="2">
      <c r="A2" s="2" t="inlineStr">
        <is>
          <t>FINANCIAL STATEMENTS</t>
        </is>
      </c>
    </row>
    <row r="3">
      <c r="A3" s="3" t="inlineStr">
        <is>
          <t>Named Insured:</t>
        </is>
      </c>
      <c r="B3" s="4" t="inlineStr">
        <is>
          <t>Keystone Commercial Builders, Inc.</t>
        </is>
      </c>
    </row>
    <row r="4">
      <c r="A4" s="3" t="inlineStr">
        <is>
          <t>Mailing Address:</t>
        </is>
      </c>
      <c r="B4" s="4" t="inlineStr">
        <is>
          <t>300 Liberty Avenue, Suite 1200, Pittsburgh, PA, 15222</t>
        </is>
      </c>
    </row>
    <row r="5">
      <c r="A5" s="3" t="inlineStr">
        <is>
          <t>Valuation Date:</t>
        </is>
      </c>
      <c r="B5" s="4" t="inlineStr">
        <is>
          <t>2026-02-16</t>
        </is>
      </c>
    </row>
    <row r="6">
      <c r="A6" s="3" t="inlineStr">
        <is>
          <t>Prepared By:</t>
        </is>
      </c>
      <c r="B6" s="4" t="inlineStr">
        <is>
          <t>Joseph Kowalczyk</t>
        </is>
      </c>
    </row>
    <row r="7" ht="8" customHeight="1"/>
    <row r="8" ht="22" customHeight="1">
      <c r="A8" s="5" t="inlineStr">
        <is>
          <t>BALANCE SHEET</t>
        </is>
      </c>
    </row>
    <row r="9">
      <c r="A9" s="6" t="inlineStr">
        <is>
          <t>ASSETS</t>
        </is>
      </c>
      <c r="B9" s="7" t="n">
        <v>0</v>
      </c>
    </row>
    <row r="10">
      <c r="A10" s="6" t="inlineStr">
        <is>
          <t>Current Assets:</t>
        </is>
      </c>
      <c r="B10" s="7" t="n">
        <v>0</v>
      </c>
    </row>
    <row r="11" outlineLevel="1">
      <c r="A11" s="8" t="inlineStr">
        <is>
          <t>Cash &amp; Equivalents</t>
        </is>
      </c>
      <c r="B11" s="9" t="n">
        <v>22187700</v>
      </c>
    </row>
    <row r="12" outlineLevel="1">
      <c r="A12" s="8" t="inlineStr">
        <is>
          <t>Accounts Receivable</t>
        </is>
      </c>
      <c r="B12" s="9" t="n">
        <v>28366800</v>
      </c>
    </row>
    <row r="13" outlineLevel="1">
      <c r="A13" s="8" t="inlineStr">
        <is>
          <t>Construction in Progress</t>
        </is>
      </c>
      <c r="B13" s="9" t="n">
        <v>11400000</v>
      </c>
    </row>
    <row r="14" outlineLevel="1">
      <c r="A14" s="8" t="inlineStr">
        <is>
          <t>Prepaid Expenses</t>
        </is>
      </c>
      <c r="B14" s="9" t="n">
        <v>2375000</v>
      </c>
    </row>
    <row r="15">
      <c r="A15" s="8" t="inlineStr">
        <is>
          <t>Property, Plant &amp; Equipment (net)</t>
        </is>
      </c>
      <c r="B15" s="9" t="n">
        <v>7911100</v>
      </c>
    </row>
    <row r="16">
      <c r="A16" s="8" t="inlineStr">
        <is>
          <t>Other Assets</t>
        </is>
      </c>
      <c r="B16" s="9" t="n">
        <v>31096100</v>
      </c>
    </row>
    <row r="17">
      <c r="A17" s="10" t="inlineStr">
        <is>
          <t>Total Assets</t>
        </is>
      </c>
      <c r="B17" s="11">
        <f>SUM(B11:B14)+B15+B16</f>
        <v/>
      </c>
    </row>
    <row r="18"/>
    <row r="20" outlineLevel="1">
      <c r="A20" s="6" t="inlineStr">
        <is>
          <t>LIABILITIES</t>
        </is>
      </c>
      <c r="B20" s="7" t="n">
        <v>0</v>
      </c>
    </row>
    <row r="21" outlineLevel="1">
      <c r="A21" s="8" t="inlineStr">
        <is>
          <t>Accounts Payable</t>
        </is>
      </c>
      <c r="B21" s="9" t="n">
        <v>19502100</v>
      </c>
    </row>
    <row r="22" outlineLevel="1"/>
    <row r="23" outlineLevel="1">
      <c r="A23" s="8" t="inlineStr">
        <is>
          <t>Accrued Expenses</t>
        </is>
      </c>
      <c r="B23" s="9" t="n">
        <v>14166000</v>
      </c>
    </row>
    <row r="24" outlineLevel="1">
      <c r="A24" s="8" t="inlineStr">
        <is>
          <t>Current Portion of Long-Term Debt</t>
        </is>
      </c>
      <c r="B24" s="9" t="n">
        <v>3982600</v>
      </c>
    </row>
    <row r="25">
      <c r="A25" s="8" t="inlineStr">
        <is>
          <t>Long-Term Debt</t>
        </is>
      </c>
      <c r="B25" s="9" t="n">
        <v>25795700</v>
      </c>
    </row>
    <row r="26">
      <c r="A26" s="8" t="inlineStr">
        <is>
          <t>Other Liabilities</t>
        </is>
      </c>
      <c r="B26" s="9" t="n">
        <v>5517100</v>
      </c>
    </row>
    <row r="27">
      <c r="A27" s="10" t="inlineStr">
        <is>
          <t>Total Liabilities</t>
        </is>
      </c>
      <c r="B27" s="11">
        <f>SUM(B20:B24)</f>
        <v/>
      </c>
    </row>
    <row r="28"/>
    <row r="29">
      <c r="A29" s="6" t="inlineStr">
        <is>
          <t>EQUITY</t>
        </is>
      </c>
      <c r="B29" s="7" t="n">
        <v>34373200</v>
      </c>
    </row>
    <row r="30">
      <c r="A30" s="12" t="inlineStr">
        <is>
          <t>Total Liabilities &amp; Equity</t>
        </is>
      </c>
      <c r="B30" s="13" t="n">
        <v>103336700</v>
      </c>
    </row>
    <row r="31" ht="22" customHeight="1"/>
    <row r="32"/>
    <row r="33">
      <c r="A33" s="5" t="inlineStr">
        <is>
          <t>INCOME STATEMENT</t>
        </is>
      </c>
    </row>
    <row r="34">
      <c r="A34" s="4" t="inlineStr">
        <is>
          <t>Revenue</t>
        </is>
      </c>
      <c r="B34" s="9" t="n">
        <v>95000000</v>
      </c>
    </row>
    <row r="35">
      <c r="A35" s="4" t="inlineStr">
        <is>
          <t>Cost of Construction</t>
        </is>
      </c>
      <c r="B35" s="9" t="n">
        <v>69425900</v>
      </c>
    </row>
    <row r="36">
      <c r="A36" s="14" t="inlineStr">
        <is>
          <t>Gross Profit</t>
        </is>
      </c>
      <c r="B36" s="15">
        <f>B32-B33</f>
        <v/>
      </c>
    </row>
    <row r="37">
      <c r="A37" s="8" t="inlineStr">
        <is>
          <t>Operating Expenses</t>
        </is>
      </c>
      <c r="B37" s="9" t="n">
        <v>8394300</v>
      </c>
    </row>
    <row r="38">
      <c r="A38" s="8" t="inlineStr">
        <is>
          <t>Depreciation &amp; Amortization</t>
        </is>
      </c>
      <c r="B38" s="9" t="n">
        <v>6127600</v>
      </c>
    </row>
    <row r="39">
      <c r="A39" s="6" t="inlineStr">
        <is>
          <t>EBIT</t>
        </is>
      </c>
      <c r="B39" s="7" t="n">
        <v>11052200</v>
      </c>
    </row>
    <row r="40">
      <c r="A40" s="8" t="inlineStr">
        <is>
          <t>Interest Expense</t>
        </is>
      </c>
      <c r="B40" s="9" t="n">
        <v>3019600</v>
      </c>
    </row>
    <row r="41">
      <c r="A41" s="6" t="inlineStr">
        <is>
          <t>Earnings Before Tax</t>
        </is>
      </c>
      <c r="B41" s="7" t="n">
        <v>8032600</v>
      </c>
    </row>
    <row r="42">
      <c r="A42" s="8" t="inlineStr">
        <is>
          <t>Tax Provision</t>
        </is>
      </c>
      <c r="B42" s="9" t="n">
        <v>2035200</v>
      </c>
    </row>
    <row r="43">
      <c r="A43" s="12" t="inlineStr">
        <is>
          <t>Net lncome</t>
        </is>
      </c>
      <c r="B43" s="13">
        <f>B39-B40</f>
        <v/>
      </c>
    </row>
    <row r="44" ht="22" customHeight="1"/>
    <row r="45"/>
    <row r="46"/>
    <row r="47">
      <c r="A47" s="5" t="inlineStr">
        <is>
          <t>KEY FINANCIAL RATIOS</t>
        </is>
      </c>
    </row>
    <row r="48">
      <c r="A48" s="4" t="inlineStr">
        <is>
          <t>Current Ratio</t>
        </is>
      </c>
      <c r="B48" s="16" t="inlineStr">
        <is>
          <t>1.71</t>
        </is>
      </c>
    </row>
    <row r="49">
      <c r="A49" s="4" t="inlineStr">
        <is>
          <t>Debt-to-Equity</t>
        </is>
      </c>
      <c r="B49" s="16" t="inlineStr">
        <is>
          <t>2.01</t>
        </is>
      </c>
    </row>
    <row r="50">
      <c r="A50" s="4" t="inlineStr">
        <is>
          <t>Profit Margin</t>
        </is>
      </c>
      <c r="B50" s="16" t="inlineStr">
        <is>
          <t>6.3%</t>
        </is>
      </c>
    </row>
    <row r="51">
      <c r="A51" s="4" t="inlineStr">
        <is>
          <t>Return on Assets</t>
        </is>
      </c>
      <c r="B51" s="16" t="inlineStr">
        <is>
          <t>5.8%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2:B2"/>
    <mergeCell ref="A33:B33"/>
    <mergeCell ref="A47:B47"/>
    <mergeCell ref="A1:B1"/>
    <mergeCell ref="A8:B8"/>
  </mergeCells>
  <pageMargins left="0.75" right="0.75" top="1" bottom="1" header="0.5" footer="0.5"/>
  <pageSetup orientation="portrait" fitToHeight="0" fitToWidth="1"/>
  <headerFooter>
    <oddHeader/>
    <oddFooter>&amp;LFINANCIAL STATEMENTS - 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2026-05-04T23:24:12Z</dcterms:created>
  <dcterms:modified xmlns:dcterms="http://purl.org/dc/terms/" xmlns:xsi="http://www.w3.org/2001/XMLSchema-instance" xsi:type="dcterms:W3CDTF">2026-05-04T23:24:12Z</dcterms:modified>
</cp:coreProperties>
</file>