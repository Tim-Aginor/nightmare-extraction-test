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 Mod Worksheet" sheetId="1" state="visible" r:id="rId1"/>
  </sheets>
  <definedNames>
    <definedName name="_xlnm.Print_Titles" localSheetId="0">'Exp Mod Worksheet'!$19:$19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8">
    <font>
      <name val="Calibri"/>
      <family val="2"/>
      <color theme="1"/>
      <sz val="11"/>
      <scheme val="minor"/>
    </font>
    <font>
      <name val="Times New Roman"/>
      <b val="1"/>
      <color rgb="008B0000"/>
      <sz val="14"/>
    </font>
    <font>
      <name val="Times New Roman"/>
      <b val="1"/>
      <color rgb="008B0000"/>
      <sz val="12"/>
    </font>
    <font>
      <name val="Times New Roman"/>
      <b val="1"/>
      <color rgb="008B0000"/>
      <sz val="10"/>
    </font>
    <font>
      <name val="Times New Roman"/>
      <sz val="10"/>
    </font>
    <font>
      <name val="Times New Roman"/>
      <b val="1"/>
      <color rgb="00FFFFF0"/>
      <sz val="11"/>
    </font>
    <font>
      <name val="Times New Roman"/>
      <b val="1"/>
      <sz val="10"/>
    </font>
    <font>
      <name val="Times New Roman"/>
      <b val="1"/>
      <color rgb="00FFFFF0"/>
      <sz val="10"/>
    </font>
  </fonts>
  <fills count="5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C9A94E"/>
        <bgColor rgb="00C9A94E"/>
      </patternFill>
    </fill>
    <fill>
      <patternFill patternType="solid">
        <fgColor rgb="00FFEB9C"/>
        <bgColor rgb="00FFEB9C"/>
      </patternFill>
    </fill>
  </fills>
  <borders count="4">
    <border>
      <left/>
      <right/>
      <top/>
      <bottom/>
      <diagonal/>
    </border>
    <border>
      <left style="thin">
        <color rgb="008B0000"/>
      </left>
      <right style="thin">
        <color rgb="008B0000"/>
      </right>
      <top style="thin">
        <color rgb="008B0000"/>
      </top>
      <bottom style="medium">
        <color rgb="008B0000"/>
      </bottom>
    </border>
    <border>
      <left style="thin">
        <color rgb="00C9A94E"/>
      </left>
      <right style="thin">
        <color rgb="00C9A94E"/>
      </right>
      <top style="thin">
        <color rgb="00C9A94E"/>
      </top>
      <bottom style="thin">
        <color rgb="00C9A94E"/>
      </bottom>
    </border>
    <border>
      <top style="thin">
        <color rgb="008B0000"/>
      </top>
      <bottom style="double">
        <color rgb="008B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0" fontId="0" fillId="3" borderId="3" pivotButton="0" quotePrefix="0" xfId="0"/>
    <xf numFmtId="0" fontId="6" fillId="3" borderId="3" pivotButton="0" quotePrefix="0" xfId="0"/>
    <xf numFmtId="3" fontId="6" fillId="3" borderId="3" pivotButton="0" quotePrefix="0" xfId="0"/>
    <xf numFmtId="0" fontId="4" fillId="0" borderId="0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0" fontId="6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4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Hallmark Insurance Group</t>
        </is>
      </c>
    </row>
    <row r="2">
      <c r="A2" s="2" t="inlineStr">
        <is>
          <t>Texas Department of Insurance Experience Rating Worksheet</t>
        </is>
      </c>
    </row>
    <row r="3">
      <c r="A3" s="3" t="inlineStr">
        <is>
          <t>Named Insured:</t>
        </is>
      </c>
      <c r="B3" s="4" t="inlineStr">
        <is>
          <t>Hill Country Hospitality Partners, LLC</t>
        </is>
      </c>
    </row>
    <row r="4">
      <c r="A4" s="3" t="inlineStr">
        <is>
          <t>Mailing Address:</t>
        </is>
      </c>
      <c r="B4" s="4" t="inlineStr">
        <is>
          <t>401 Congress Avenue, Suite 2800, Austin, TX, 78701</t>
        </is>
      </c>
    </row>
    <row r="5">
      <c r="A5" s="3" t="inlineStr">
        <is>
          <t>Policy Number:</t>
        </is>
      </c>
      <c r="B5" s="4" t="inlineStr">
        <is>
          <t>WC-HCHP-2025-3350</t>
        </is>
      </c>
    </row>
    <row r="6">
      <c r="A6" s="3" t="inlineStr">
        <is>
          <t>Policy Period:</t>
        </is>
      </c>
      <c r="B6" s="4" t="inlineStr">
        <is>
          <t>2025-05-01 to 2026-05-01</t>
        </is>
      </c>
    </row>
    <row r="7">
      <c r="A7" s="3" t="inlineStr">
        <is>
          <t>Valuation Date:</t>
        </is>
      </c>
      <c r="B7" s="4" t="inlineStr">
        <is>
          <t>2026-03-15</t>
        </is>
      </c>
    </row>
    <row r="8">
      <c r="A8" s="3" t="inlineStr">
        <is>
          <t>Prepared By:</t>
        </is>
      </c>
      <c r="B8" s="4" t="inlineStr">
        <is>
          <t>Marilyn Rocha, Claims Adjustment Bureau</t>
        </is>
      </c>
    </row>
    <row r="9" ht="8" customHeight="1"/>
    <row r="10" ht="22" customHeight="1">
      <c r="A10" s="5" t="inlineStr">
        <is>
          <t>RATING ORGANIZATION INFORMATION</t>
        </is>
      </c>
    </row>
    <row r="11">
      <c r="A11" s="6" t="inlineStr">
        <is>
          <t>Rating Organization</t>
        </is>
      </c>
      <c r="B11" s="4" t="inlineStr">
        <is>
          <t>Texas Department of Insurance</t>
        </is>
      </c>
    </row>
    <row r="12">
      <c r="A12" s="6" t="inlineStr">
        <is>
          <t>Risk ID Number</t>
        </is>
      </c>
      <c r="B12" s="4" t="inlineStr">
        <is>
          <t>308382-9453</t>
        </is>
      </c>
    </row>
    <row r="13">
      <c r="A13" s="6" t="inlineStr">
        <is>
          <t>State</t>
        </is>
      </c>
      <c r="B13" s="4" t="inlineStr">
        <is>
          <t>TX</t>
        </is>
      </c>
    </row>
    <row r="14">
      <c r="A14" s="6" t="inlineStr">
        <is>
          <t>Interstate Rating</t>
        </is>
      </c>
      <c r="B14" s="4" t="inlineStr">
        <is>
          <t>Yes</t>
        </is>
      </c>
    </row>
    <row r="15">
      <c r="A15" s="6" t="inlineStr">
        <is>
          <t>Rating Plan</t>
        </is>
      </c>
      <c r="B15" s="4" t="inlineStr">
        <is>
          <t>Large Risk</t>
        </is>
      </c>
    </row>
    <row r="16">
      <c r="A16" s="6" t="inlineStr">
        <is>
          <t>Effective Date</t>
        </is>
      </c>
      <c r="B16" s="4" t="inlineStr">
        <is>
          <t>2026-03-15</t>
        </is>
      </c>
    </row>
    <row r="18" ht="22" customHeight="1">
      <c r="A18" s="5" t="inlineStr">
        <is>
          <t>PAYROLL / CLASSIFICATION DATA</t>
        </is>
      </c>
    </row>
    <row r="19">
      <c r="A19" s="7" t="inlineStr">
        <is>
          <t>State</t>
        </is>
      </c>
      <c r="B19" s="7" t="inlineStr">
        <is>
          <t>Class Code</t>
        </is>
      </c>
      <c r="C19" s="7" t="inlineStr">
        <is>
          <t>Description</t>
        </is>
      </c>
      <c r="D19" s="7" t="inlineStr">
        <is>
          <t>Payroll</t>
        </is>
      </c>
      <c r="E19" s="7" t="inlineStr">
        <is>
          <t>Exp Loss Rate</t>
        </is>
      </c>
      <c r="F19" s="7" t="inlineStr">
        <is>
          <t>Expected Losses</t>
        </is>
      </c>
      <c r="G19" s="7" t="inlineStr">
        <is>
          <t>D-Ratio</t>
        </is>
      </c>
    </row>
    <row r="20">
      <c r="A20" s="8" t="inlineStr">
        <is>
          <t>TX</t>
        </is>
      </c>
      <c r="B20" s="8" t="inlineStr">
        <is>
          <t>9052</t>
        </is>
      </c>
      <c r="C20" s="8" t="inlineStr">
        <is>
          <t>Hotel — All Other Employees</t>
        </is>
      </c>
      <c r="D20" s="9" t="n">
        <v>9207271</v>
      </c>
      <c r="E20" s="10" t="n">
        <v>1.63</v>
      </c>
      <c r="F20" s="9" t="n">
        <v>150079</v>
      </c>
      <c r="G20" s="11" t="n">
        <v>0.28</v>
      </c>
    </row>
    <row r="21">
      <c r="A21" s="8" t="inlineStr">
        <is>
          <t>TX</t>
        </is>
      </c>
      <c r="B21" s="8" t="inlineStr">
        <is>
          <t>9060</t>
        </is>
      </c>
      <c r="C21" s="8" t="inlineStr">
        <is>
          <t>Hotel — Bellhops, Doorpersons</t>
        </is>
      </c>
      <c r="D21" s="9" t="n">
        <v>1454400</v>
      </c>
      <c r="E21" s="10" t="n">
        <v>1.95</v>
      </c>
      <c r="F21" s="9" t="n">
        <v>28361</v>
      </c>
      <c r="G21" s="11" t="n">
        <v>0.29</v>
      </c>
    </row>
    <row r="22">
      <c r="A22" s="8" t="inlineStr">
        <is>
          <t>TX</t>
        </is>
      </c>
      <c r="B22" s="8" t="inlineStr">
        <is>
          <t>9082</t>
        </is>
      </c>
      <c r="C22" s="8" t="inlineStr">
        <is>
          <t>Restaurant — NOC</t>
        </is>
      </c>
      <c r="D22" s="9" t="n">
        <v>3678800</v>
      </c>
      <c r="E22" s="10" t="n">
        <v>1.55</v>
      </c>
      <c r="F22" s="9" t="n">
        <v>57021</v>
      </c>
      <c r="G22" s="11" t="n">
        <v>0.28</v>
      </c>
    </row>
    <row r="23">
      <c r="A23" s="8" t="inlineStr">
        <is>
          <t>TX</t>
        </is>
      </c>
      <c r="B23" s="8" t="inlineStr">
        <is>
          <t>8810</t>
        </is>
      </c>
      <c r="C23" s="8" t="inlineStr">
        <is>
          <t>Clerical Office Employees — NOC</t>
        </is>
      </c>
      <c r="D23" s="9" t="n">
        <v>1920000</v>
      </c>
      <c r="E23" s="10" t="n">
        <v>0.195</v>
      </c>
      <c r="F23" s="9" t="n">
        <v>3744</v>
      </c>
      <c r="G23" s="11" t="n">
        <v>0.17</v>
      </c>
    </row>
    <row r="24">
      <c r="A24" s="12" t="n"/>
      <c r="B24" s="12" t="n"/>
      <c r="C24" s="13" t="inlineStr">
        <is>
          <t>TOTALS</t>
        </is>
      </c>
      <c r="D24" s="14">
        <f>SUM(D20:D23)</f>
        <v/>
      </c>
      <c r="E24" s="12" t="n"/>
      <c r="F24" s="14">
        <f>SUM(F20:F23)</f>
        <v/>
      </c>
      <c r="G24" s="12" t="n"/>
    </row>
    <row r="26" ht="22" customHeight="1">
      <c r="A26" s="5" t="inlineStr">
        <is>
          <t>ACTUAL LOSS DATA</t>
        </is>
      </c>
    </row>
    <row r="27">
      <c r="A27" s="7" t="inlineStr">
        <is>
          <t>Policy Year</t>
        </is>
      </c>
      <c r="B27" s="7" t="inlineStr">
        <is>
          <t>Claim Count</t>
        </is>
      </c>
      <c r="C27" s="7" t="inlineStr">
        <is>
          <t>Total Paid</t>
        </is>
      </c>
      <c r="D27" s="7" t="inlineStr">
        <is>
          <t>Total Incurred</t>
        </is>
      </c>
      <c r="E27" s="7" t="inlineStr">
        <is>
          <t>Primary Losses</t>
        </is>
      </c>
      <c r="F27" s="7" t="inlineStr">
        <is>
          <t>Excess Losses</t>
        </is>
      </c>
      <c r="G27" s="7" t="inlineStr"/>
    </row>
    <row r="28">
      <c r="A28" s="8" t="inlineStr">
        <is>
          <t>2023-2024</t>
        </is>
      </c>
      <c r="B28" s="8" t="n">
        <v>2</v>
      </c>
      <c r="C28" s="9" t="n">
        <v>9940</v>
      </c>
      <c r="D28" s="9" t="n">
        <v>9940</v>
      </c>
      <c r="E28" s="9" t="n">
        <v>9940</v>
      </c>
      <c r="F28" s="9" t="n">
        <v>0</v>
      </c>
      <c r="G28" s="8" t="inlineStr"/>
    </row>
    <row r="29">
      <c r="A29" s="8" t="inlineStr">
        <is>
          <t>2022-2023</t>
        </is>
      </c>
      <c r="B29" s="8" t="n">
        <v>6</v>
      </c>
      <c r="C29" s="9" t="n">
        <v>26662</v>
      </c>
      <c r="D29" s="9" t="n">
        <v>26662</v>
      </c>
      <c r="E29" s="9" t="n">
        <v>26662</v>
      </c>
      <c r="F29" s="9" t="n">
        <v>0</v>
      </c>
      <c r="G29" s="8" t="inlineStr"/>
    </row>
    <row r="30">
      <c r="A30" s="8" t="inlineStr">
        <is>
          <t>2021-2022</t>
        </is>
      </c>
      <c r="B30" s="8" t="n">
        <v>8</v>
      </c>
      <c r="C30" s="9" t="n">
        <v>56343</v>
      </c>
      <c r="D30" s="9" t="n">
        <v>56343</v>
      </c>
      <c r="E30" s="9" t="n">
        <v>56343</v>
      </c>
      <c r="F30" s="9" t="n">
        <v>0</v>
      </c>
      <c r="G30" s="8" t="inlineStr"/>
    </row>
    <row r="32" ht="22" customHeight="1">
      <c r="A32" s="5" t="inlineStr">
        <is>
          <t>RATING CALCULATION</t>
        </is>
      </c>
    </row>
    <row r="33">
      <c r="A33" s="4" t="inlineStr">
        <is>
          <t>Expected Losses (E)</t>
        </is>
      </c>
      <c r="D33" s="15" t="inlineStr">
        <is>
          <t>$361,806</t>
        </is>
      </c>
    </row>
    <row r="34">
      <c r="A34" s="4" t="inlineStr">
        <is>
          <t>Actual Primary Losses (Ap)</t>
        </is>
      </c>
      <c r="D34" s="15" t="inlineStr">
        <is>
          <t>$92,945</t>
        </is>
      </c>
    </row>
    <row r="35">
      <c r="A35" s="4" t="inlineStr">
        <is>
          <t>Actual Excess Losses (Ae)</t>
        </is>
      </c>
      <c r="D35" s="15" t="inlineStr">
        <is>
          <t>$0</t>
        </is>
      </c>
    </row>
    <row r="36">
      <c r="A36" s="4" t="inlineStr">
        <is>
          <t>Weighting Factor (W)</t>
        </is>
      </c>
      <c r="D36" s="15" t="inlineStr">
        <is>
          <t>0.419</t>
        </is>
      </c>
    </row>
    <row r="37">
      <c r="A37" s="4" t="inlineStr">
        <is>
          <t>Expected Excess Losses (Ee)</t>
        </is>
      </c>
      <c r="D37" s="15" t="inlineStr">
        <is>
          <t>$422,385</t>
        </is>
      </c>
    </row>
    <row r="38">
      <c r="A38" s="4" t="inlineStr">
        <is>
          <t>Ballast Value (B)</t>
        </is>
      </c>
      <c r="D38" s="15" t="inlineStr">
        <is>
          <t>$29,114</t>
        </is>
      </c>
    </row>
    <row r="39">
      <c r="A39" s="4" t="inlineStr"/>
      <c r="D39" s="15" t="inlineStr"/>
    </row>
    <row r="40">
      <c r="A40" s="4" t="inlineStr">
        <is>
          <t>Numerator: Ap + W×Ae + (1-W)×Ee + B</t>
        </is>
      </c>
      <c r="D40" s="15" t="inlineStr">
        <is>
          <t>$367,465</t>
        </is>
      </c>
    </row>
    <row r="41">
      <c r="A41" s="4" t="inlineStr">
        <is>
          <t>Denominator: E + B</t>
        </is>
      </c>
      <c r="D41" s="15" t="inlineStr">
        <is>
          <t>$390,920</t>
        </is>
      </c>
    </row>
    <row r="42">
      <c r="A42" s="4" t="inlineStr">
        <is>
          <t>Calculated Mod</t>
        </is>
      </c>
      <c r="D42" s="15" t="inlineStr">
        <is>
          <t>0.9400</t>
        </is>
      </c>
    </row>
    <row r="43">
      <c r="A43" s="16" t="inlineStr">
        <is>
          <t>Final Experience Modification Factor</t>
        </is>
      </c>
      <c r="B43" s="17" t="n"/>
      <c r="C43" s="17" t="n"/>
      <c r="D43" s="18" t="inlineStr">
        <is>
          <t>0.94</t>
        </is>
      </c>
      <c r="E43" s="17" t="n"/>
      <c r="F43" s="17" t="n"/>
      <c r="G43" s="17" t="n"/>
    </row>
  </sheetData>
  <mergeCells count="12">
    <mergeCell ref="A32:G32"/>
    <mergeCell ref="B3:D3"/>
    <mergeCell ref="B5:D5"/>
    <mergeCell ref="A1:G1"/>
    <mergeCell ref="A18:G18"/>
    <mergeCell ref="B8:D8"/>
    <mergeCell ref="B4:D4"/>
    <mergeCell ref="A26:G26"/>
    <mergeCell ref="A2:G2"/>
    <mergeCell ref="B7:D7"/>
    <mergeCell ref="B6:D6"/>
    <mergeCell ref="A10:G10"/>
  </mergeCells>
  <pageMargins left="0.75" right="0.75" top="1" bottom="1" header="0.5" footer="0.5"/>
  <pageSetup orientation="portrait" fitToHeight="0" fitToWidth="1"/>
  <headerFooter>
    <oddHeader/>
    <oddFooter>&amp;LWORKERS COMPENSATION RATING WORKSHEET - 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2026-05-04T23:23:43Z</dcterms:created>
  <dcterms:modified xmlns:dcterms="http://purl.org/dc/terms/" xmlns:xsi="http://www.w3.org/2001/XMLSchema-instance" xsi:type="dcterms:W3CDTF">2026-05-04T23:23:43Z</dcterms:modified>
</cp:coreProperties>
</file>